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orecard" sheetId="2" state="visible" r:id="rId4"/>
    <sheet name="Notches" sheetId="3" state="visible" r:id="rId5"/>
    <sheet name="Spreads" sheetId="4" state="visible" r:id="rId6"/>
    <sheet name="BaseRates" sheetId="5" state="visible" r:id="rId7"/>
    <sheet name="Pric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<sst xmlns="http://schemas.openxmlformats.org/spreadsheetml/2006/main" count="88" uniqueCount="59">
  <si>
    <t xml:space="preserve">Input</t>
  </si>
  <si>
    <t xml:space="preserve">Value</t>
  </si>
  <si>
    <t xml:space="preserve">Revenue (EUR m)</t>
  </si>
  <si>
    <t xml:space="preserve">EBITDA</t>
  </si>
  <si>
    <t xml:space="preserve">Interest expense</t>
  </si>
  <si>
    <t xml:space="preserve">Tax paid</t>
  </si>
  <si>
    <t xml:space="preserve">Total debt</t>
  </si>
  <si>
    <t xml:space="preserve">Group rating</t>
  </si>
  <si>
    <t xml:space="preserve">A-</t>
  </si>
  <si>
    <t xml:space="preserve">Max implicit-support notches</t>
  </si>
  <si>
    <t xml:space="preserve">Currency</t>
  </si>
  <si>
    <t xml:space="preserve">EUR</t>
  </si>
  <si>
    <t xml:space="preserve">Tenor (years)</t>
  </si>
  <si>
    <t xml:space="preserve">Principal (EUR m)</t>
  </si>
  <si>
    <t xml:space="preserve">Secured (1/0)</t>
  </si>
  <si>
    <t xml:space="preserve">Subordinated (1/0)</t>
  </si>
  <si>
    <t xml:space="preserve">Factor</t>
  </si>
  <si>
    <t xml:space="preserve">Ratio</t>
  </si>
  <si>
    <t xml:space="preserve">Weight</t>
  </si>
  <si>
    <t xml:space="preserve">Higher is better</t>
  </si>
  <si>
    <t xml:space="preserve">Score</t>
  </si>
  <si>
    <t xml:space="preserve">Weighted</t>
  </si>
  <si>
    <t xml:space="preserve">AAA</t>
  </si>
  <si>
    <t xml:space="preserve">AA</t>
  </si>
  <si>
    <t xml:space="preserve">A</t>
  </si>
  <si>
    <t xml:space="preserve">BBB</t>
  </si>
  <si>
    <t xml:space="preserve">BB</t>
  </si>
  <si>
    <t xml:space="preserve">B</t>
  </si>
  <si>
    <t xml:space="preserve">CCC</t>
  </si>
  <si>
    <t xml:space="preserve">EBITDA margin</t>
  </si>
  <si>
    <t xml:space="preserve">Debt / EBITDA</t>
  </si>
  <si>
    <t xml:space="preserve">EBITDA / interest</t>
  </si>
  <si>
    <t xml:space="preserve">FFO / debt</t>
  </si>
  <si>
    <t xml:space="preserve">Weighted score</t>
  </si>
  <si>
    <t xml:space="preserve">Stand-alone rating</t>
  </si>
  <si>
    <t xml:space="preserve">Implicit-support lift (notches)</t>
  </si>
  <si>
    <t xml:space="preserve">Supported rating</t>
  </si>
  <si>
    <t xml:space="preserve">AA+</t>
  </si>
  <si>
    <t xml:space="preserve">AA-</t>
  </si>
  <si>
    <t xml:space="preserve">A+</t>
  </si>
  <si>
    <t xml:space="preserve">BBB+</t>
  </si>
  <si>
    <t xml:space="preserve">BBB-</t>
  </si>
  <si>
    <t xml:space="preserve">BB+</t>
  </si>
  <si>
    <t xml:space="preserve">BB-</t>
  </si>
  <si>
    <t xml:space="preserve">B+</t>
  </si>
  <si>
    <t xml:space="preserve">B-</t>
  </si>
  <si>
    <t xml:space="preserve">CCC+</t>
  </si>
  <si>
    <t xml:space="preserve">CCC-</t>
  </si>
  <si>
    <t xml:space="preserve">CC</t>
  </si>
  <si>
    <t xml:space="preserve">C</t>
  </si>
  <si>
    <t xml:space="preserve">Rating \ tenor</t>
  </si>
  <si>
    <t xml:space="preserve">Currency \ tenor</t>
  </si>
  <si>
    <t xml:space="preserve">USD</t>
  </si>
  <si>
    <t xml:space="preserve">Item</t>
  </si>
  <si>
    <t xml:space="preserve">Base rate</t>
  </si>
  <si>
    <t xml:space="preserve">Credit spread (bps)</t>
  </si>
  <si>
    <t xml:space="preserve">Security / subordination adj. (bps)</t>
  </si>
  <si>
    <t xml:space="preserve">All-in interest rate</t>
  </si>
  <si>
    <t xml:space="preserve">Annual interest (EUR m)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</si>
</sst>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@"/>
    <numFmt numFmtId="167" formatCode="0"/>
    <numFmt numFmtId="168" formatCode="0.0"/>
    <numFmt numFmtId="169" formatCode="0.000"/>
    <numFmt numFmtId="170" formatCode="0%"/>
    <numFmt numFmtId="171" formatCode="0.00"/>
    <numFmt numFmtId="172" formatCode="General"/>
    <numFmt numFmtId="173" formatCode="0.00%"/>
    <numFmt numFmtId="174" formatCode="0.000%"/>
    <numFmt numFmtId="175" formatCode="#,##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1200</v>
      </c>
    </row>
    <row r="3" customFormat="false" ht="15" hidden="false" customHeight="false" outlineLevel="0" collapsed="false">
      <c r="A3" s="0" t="s">
        <v>3</v>
      </c>
      <c r="B3" s="2" t="n">
        <v>120</v>
      </c>
    </row>
    <row r="4" customFormat="false" ht="15" hidden="false" customHeight="false" outlineLevel="0" collapsed="false">
      <c r="A4" s="0" t="s">
        <v>4</v>
      </c>
      <c r="B4" s="2" t="n">
        <v>22</v>
      </c>
    </row>
    <row r="5" customFormat="false" ht="15" hidden="false" customHeight="false" outlineLevel="0" collapsed="false">
      <c r="A5" s="0" t="s">
        <v>5</v>
      </c>
      <c r="B5" s="2" t="n">
        <v>18</v>
      </c>
    </row>
    <row r="6" customFormat="false" ht="15" hidden="false" customHeight="false" outlineLevel="0" collapsed="false">
      <c r="A6" s="0" t="s">
        <v>6</v>
      </c>
      <c r="B6" s="2" t="n">
        <v>480</v>
      </c>
    </row>
    <row r="7" customFormat="false" ht="15" hidden="false" customHeight="false" outlineLevel="0" collapsed="false">
      <c r="A7" s="0" t="s">
        <v>7</v>
      </c>
      <c r="B7" s="3" t="s">
        <v>8</v>
      </c>
    </row>
    <row r="8" customFormat="false" ht="15" hidden="false" customHeight="false" outlineLevel="0" collapsed="false">
      <c r="A8" s="0" t="s">
        <v>9</v>
      </c>
      <c r="B8" s="4" t="n">
        <v>2</v>
      </c>
    </row>
    <row r="9" customFormat="false" ht="15" hidden="false" customHeight="false" outlineLevel="0" collapsed="false">
      <c r="A9" s="0" t="s">
        <v>10</v>
      </c>
      <c r="B9" s="3" t="s">
        <v>11</v>
      </c>
    </row>
    <row r="10" customFormat="false" ht="15" hidden="false" customHeight="false" outlineLevel="0" collapsed="false">
      <c r="A10" s="0" t="s">
        <v>12</v>
      </c>
      <c r="B10" s="5" t="n">
        <v>5</v>
      </c>
    </row>
    <row r="11" customFormat="false" ht="15" hidden="false" customHeight="false" outlineLevel="0" collapsed="false">
      <c r="A11" s="0" t="s">
        <v>13</v>
      </c>
      <c r="B11" s="2" t="n">
        <v>50</v>
      </c>
    </row>
    <row r="12" customFormat="false" ht="15" hidden="false" customHeight="false" outlineLevel="0" collapsed="false">
      <c r="A12" s="0" t="s">
        <v>14</v>
      </c>
      <c r="B12" s="4" t="n">
        <v>0</v>
      </c>
    </row>
    <row r="13" customFormat="false" ht="15" hidden="false" customHeight="false" outlineLevel="0" collapsed="false">
      <c r="A13" s="0" t="s">
        <v>15</v>
      </c>
      <c r="B13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</row>
    <row r="2" customFormat="false" ht="15" hidden="false" customHeight="false" outlineLevel="0" collapsed="false">
      <c r="A2" s="0" t="s">
        <v>29</v>
      </c>
      <c r="B2" s="7" t="n">
        <f aca="false">Inputs!$B$3/Inputs!$B$2</f>
        <v>0.1</v>
      </c>
      <c r="C2" s="8" t="n">
        <v>0.15</v>
      </c>
      <c r="D2" s="9" t="n">
        <v>1</v>
      </c>
      <c r="E2" s="10" t="n">
        <f aca="false">IF($D$2=1,IF($B$2&gt;=$G$2,1,IF($B$2&lt;=$M$2,7,MATCH($B$2,$G$2:$M$2,-1)+(INDEX($G$2:$M$2,MATCH($B$2,$G$2:$M$2,-1))-$B$2)/(INDEX($G$2:$M$2,MATCH($B$2,$G$2:$M$2,-1))-INDEX($G$2:$M$2,MATCH($B$2,$G$2:$M$2,-1)+1)))),IF($B$2&lt;=$G$2,1,IF($B$2&gt;=$M$2,7,MATCH($B$2,$G$2:$M$2,1)+($B$2-INDEX($G$2:$M$2,MATCH($B$2,$G$2:$M$2,1)))/(INDEX($G$2:$M$2,MATCH($B$2,$G$2:$M$2,1)+1)-INDEX($G$2:$M$2,MATCH($B$2,$G$2:$M$2,1))))))</f>
        <v>5.2</v>
      </c>
      <c r="F2" s="7" t="n">
        <f aca="false">$C$2*$E$2</f>
        <v>0.78</v>
      </c>
      <c r="G2" s="11" t="n">
        <v>0.35</v>
      </c>
      <c r="H2" s="11" t="n">
        <v>0.28</v>
      </c>
      <c r="I2" s="11" t="n">
        <v>0.22</v>
      </c>
      <c r="J2" s="11" t="n">
        <v>0.16</v>
      </c>
      <c r="K2" s="11" t="n">
        <v>0.11</v>
      </c>
      <c r="L2" s="11" t="n">
        <v>0.06</v>
      </c>
      <c r="M2" s="11" t="n">
        <v>0.02</v>
      </c>
    </row>
    <row r="3" customFormat="false" ht="15" hidden="false" customHeight="false" outlineLevel="0" collapsed="false">
      <c r="A3" s="0" t="s">
        <v>30</v>
      </c>
      <c r="B3" s="7" t="n">
        <f aca="false">Inputs!$B$6/Inputs!$B$3</f>
        <v>4</v>
      </c>
      <c r="C3" s="8" t="n">
        <v>0.25</v>
      </c>
      <c r="D3" s="9" t="n">
        <v>0</v>
      </c>
      <c r="E3" s="10" t="n">
        <f aca="false">IF($D$3=1,IF($B$3&gt;=$G$3,1,IF($B$3&lt;=$M$3,7,MATCH($B$3,$G$3:$M$3,-1)+(INDEX($G$3:$M$3,MATCH($B$3,$G$3:$M$3,-1))-$B$3)/(INDEX($G$3:$M$3,MATCH($B$3,$G$3:$M$3,-1))-INDEX($G$3:$M$3,MATCH($B$3,$G$3:$M$3,-1)+1)))),IF($B$3&lt;=$G$3,1,IF($B$3&gt;=$M$3,7,MATCH($B$3,$G$3:$M$3,1)+($B$3-INDEX($G$3:$M$3,MATCH($B$3,$G$3:$M$3,1)))/(INDEX($G$3:$M$3,MATCH($B$3,$G$3:$M$3,1)+1)-INDEX($G$3:$M$3,MATCH($B$3,$G$3:$M$3,1))))))</f>
        <v>5</v>
      </c>
      <c r="F3" s="7" t="n">
        <f aca="false">$C$3*$E$3</f>
        <v>1.25</v>
      </c>
      <c r="G3" s="11" t="n">
        <v>0.5</v>
      </c>
      <c r="H3" s="11" t="n">
        <v>1</v>
      </c>
      <c r="I3" s="11" t="n">
        <v>1.75</v>
      </c>
      <c r="J3" s="11" t="n">
        <v>2.75</v>
      </c>
      <c r="K3" s="11" t="n">
        <v>4</v>
      </c>
      <c r="L3" s="11" t="n">
        <v>5.5</v>
      </c>
      <c r="M3" s="11" t="n">
        <v>7.5</v>
      </c>
    </row>
    <row r="4" customFormat="false" ht="15" hidden="false" customHeight="false" outlineLevel="0" collapsed="false">
      <c r="A4" s="0" t="s">
        <v>31</v>
      </c>
      <c r="B4" s="7" t="n">
        <f aca="false">Inputs!$B$3/Inputs!$B$4</f>
        <v>5.45454545454545</v>
      </c>
      <c r="C4" s="8" t="n">
        <v>0.25</v>
      </c>
      <c r="D4" s="9" t="n">
        <v>1</v>
      </c>
      <c r="E4" s="10" t="n">
        <f aca="false">IF($D$4=1,IF($B$4&gt;=$G$4,1,IF($B$4&lt;=$M$4,7,MATCH($B$4,$G$4:$M$4,-1)+(INDEX($G$4:$M$4,MATCH($B$4,$G$4:$M$4,-1))-$B$4)/(INDEX($G$4:$M$4,MATCH($B$4,$G$4:$M$4,-1))-INDEX($G$4:$M$4,MATCH($B$4,$G$4:$M$4,-1)+1)))),IF($B$4&lt;=$G$4,1,IF($B$4&gt;=$M$4,7,MATCH($B$4,$G$4:$M$4,1)+($B$4-INDEX($G$4:$M$4,MATCH($B$4,$G$4:$M$4,1)))/(INDEX($G$4:$M$4,MATCH($B$4,$G$4:$M$4,1)+1)-INDEX($G$4:$M$4,MATCH($B$4,$G$4:$M$4,1))))))</f>
        <v>3.88636363636364</v>
      </c>
      <c r="F4" s="7" t="n">
        <f aca="false">$C$4*$E$4</f>
        <v>0.971590909090909</v>
      </c>
      <c r="G4" s="11" t="n">
        <v>25</v>
      </c>
      <c r="H4" s="11" t="n">
        <v>15</v>
      </c>
      <c r="I4" s="11" t="n">
        <v>9</v>
      </c>
      <c r="J4" s="11" t="n">
        <v>5</v>
      </c>
      <c r="K4" s="11" t="n">
        <v>3</v>
      </c>
      <c r="L4" s="11" t="n">
        <v>1.5</v>
      </c>
      <c r="M4" s="11" t="n">
        <v>0.75</v>
      </c>
    </row>
    <row r="5" customFormat="false" ht="15" hidden="false" customHeight="false" outlineLevel="0" collapsed="false">
      <c r="A5" s="0" t="s">
        <v>32</v>
      </c>
      <c r="B5" s="7" t="n">
        <f aca="false">(Inputs!$B$3-Inputs!$B$4-Inputs!$B$5)/Inputs!$B$6</f>
        <v>0.166666666666667</v>
      </c>
      <c r="C5" s="8" t="n">
        <v>0.2</v>
      </c>
      <c r="D5" s="9" t="n">
        <v>1</v>
      </c>
      <c r="E5" s="10" t="n">
        <f aca="false">IF($D$5=1,IF($B$5&gt;=$G$5,1,IF($B$5&lt;=$M$5,7,MATCH($B$5,$G$5:$M$5,-1)+(INDEX($G$5:$M$5,MATCH($B$5,$G$5:$M$5,-1))-$B$5)/(INDEX($G$5:$M$5,MATCH($B$5,$G$5:$M$5,-1))-INDEX($G$5:$M$5,MATCH($B$5,$G$5:$M$5,-1)+1)))),IF($B$5&lt;=$G$5,1,IF($B$5&gt;=$M$5,7,MATCH($B$5,$G$5:$M$5,1)+($B$5-INDEX($G$5:$M$5,MATCH($B$5,$G$5:$M$5,1)))/(INDEX($G$5:$M$5,MATCH($B$5,$G$5:$M$5,1)+1)-INDEX($G$5:$M$5,MATCH($B$5,$G$5:$M$5,1))))))</f>
        <v>4.53333333333333</v>
      </c>
      <c r="F5" s="7" t="n">
        <f aca="false">$C$5*$E$5</f>
        <v>0.906666666666667</v>
      </c>
      <c r="G5" s="11" t="n">
        <v>0.8</v>
      </c>
      <c r="H5" s="11" t="n">
        <v>0.55</v>
      </c>
      <c r="I5" s="11" t="n">
        <v>0.35</v>
      </c>
      <c r="J5" s="11" t="n">
        <v>0.22</v>
      </c>
      <c r="K5" s="11" t="n">
        <v>0.12</v>
      </c>
      <c r="L5" s="11" t="n">
        <v>0.06</v>
      </c>
      <c r="M5" s="11" t="n">
        <v>0.02</v>
      </c>
    </row>
    <row r="6" customFormat="false" ht="15" hidden="false" customHeight="false" outlineLevel="0" collapsed="false">
      <c r="A6" s="0" t="s">
        <v>2</v>
      </c>
      <c r="B6" s="7" t="n">
        <f aca="false">Inputs!$B$2</f>
        <v>1200</v>
      </c>
      <c r="C6" s="8" t="n">
        <v>0.15</v>
      </c>
      <c r="D6" s="9" t="n">
        <v>1</v>
      </c>
      <c r="E6" s="10" t="n">
        <f aca="false">IF($D$6=1,IF($B$6&gt;=$G$6,1,IF($B$6&lt;=$M$6,7,MATCH($B$6,$G$6:$M$6,-1)+(INDEX($G$6:$M$6,MATCH($B$6,$G$6:$M$6,-1))-$B$6)/(INDEX($G$6:$M$6,MATCH($B$6,$G$6:$M$6,-1))-INDEX($G$6:$M$6,MATCH($B$6,$G$6:$M$6,-1)+1)))),IF($B$6&lt;=$G$6,1,IF($B$6&gt;=$M$6,7,MATCH($B$6,$G$6:$M$6,1)+($B$6-INDEX($G$6:$M$6,MATCH($B$6,$G$6:$M$6,1)))/(INDEX($G$6:$M$6,MATCH($B$6,$G$6:$M$6,1)+1)-INDEX($G$6:$M$6,MATCH($B$6,$G$6:$M$6,1))))))</f>
        <v>4.76470588235294</v>
      </c>
      <c r="F6" s="7" t="n">
        <f aca="false">$C$6*$E$6</f>
        <v>0.714705882352941</v>
      </c>
      <c r="G6" s="11" t="n">
        <v>50000</v>
      </c>
      <c r="H6" s="11" t="n">
        <v>20000</v>
      </c>
      <c r="I6" s="11" t="n">
        <v>7500</v>
      </c>
      <c r="J6" s="11" t="n">
        <v>2500</v>
      </c>
      <c r="K6" s="11" t="n">
        <v>800</v>
      </c>
      <c r="L6" s="11" t="n">
        <v>250</v>
      </c>
      <c r="M6" s="11" t="n">
        <v>75</v>
      </c>
    </row>
    <row r="8" customFormat="false" ht="15" hidden="false" customHeight="false" outlineLevel="0" collapsed="false">
      <c r="A8" s="1" t="s">
        <v>33</v>
      </c>
      <c r="F8" s="10" t="n">
        <f aca="false">SUM(F2:F6)</f>
        <v>4.62296345811052</v>
      </c>
    </row>
    <row r="9" customFormat="false" ht="15" hidden="false" customHeight="false" outlineLevel="0" collapsed="false">
      <c r="A9" s="1" t="s">
        <v>34</v>
      </c>
      <c r="F9" s="0" t="str">
        <f aca="false">INDEX(Notches!$A$1:$A$21,MIN(21,MAX(1,3+ROUND((F8-2)*3,0))))</f>
        <v>BB+</v>
      </c>
    </row>
    <row r="10" customFormat="false" ht="15" hidden="false" customHeight="false" outlineLevel="0" collapsed="false">
      <c r="A10" s="1" t="s">
        <v>35</v>
      </c>
      <c r="F10" s="12" t="n">
        <f aca="false">MIN(MAX(MATCH(F9,Notches!$A$1:$A$21,0)-MATCH(Inputs!$B$7,Notches!$A$1:$A$21,0),0),Inputs!$B$8)</f>
        <v>2</v>
      </c>
    </row>
    <row r="11" customFormat="false" ht="15" hidden="false" customHeight="false" outlineLevel="0" collapsed="false">
      <c r="A11" s="1" t="s">
        <v>36</v>
      </c>
      <c r="F11" s="0" t="str">
        <f aca="false">INDEX(Notches!$A$1:$A$21,MATCH(F9,Notches!$A$1:$A$21,0)-F10)</f>
        <v>BBB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22</v>
      </c>
    </row>
    <row r="2" customFormat="false" ht="15" hidden="false" customHeight="false" outlineLevel="0" collapsed="false">
      <c r="A2" s="0" t="s">
        <v>37</v>
      </c>
    </row>
    <row r="3" customFormat="false" ht="15" hidden="false" customHeight="false" outlineLevel="0" collapsed="false">
      <c r="A3" s="0" t="s">
        <v>23</v>
      </c>
    </row>
    <row r="4" customFormat="false" ht="15" hidden="false" customHeight="false" outlineLevel="0" collapsed="false">
      <c r="A4" s="0" t="s">
        <v>38</v>
      </c>
    </row>
    <row r="5" customFormat="false" ht="15" hidden="false" customHeight="false" outlineLevel="0" collapsed="false">
      <c r="A5" s="0" t="s">
        <v>39</v>
      </c>
    </row>
    <row r="6" customFormat="false" ht="15" hidden="false" customHeight="false" outlineLevel="0" collapsed="false">
      <c r="A6" s="0" t="s">
        <v>24</v>
      </c>
    </row>
    <row r="7" customFormat="false" ht="15" hidden="false" customHeight="false" outlineLevel="0" collapsed="false">
      <c r="A7" s="0" t="s">
        <v>8</v>
      </c>
    </row>
    <row r="8" customFormat="false" ht="15" hidden="false" customHeight="false" outlineLevel="0" collapsed="false">
      <c r="A8" s="0" t="s">
        <v>40</v>
      </c>
    </row>
    <row r="9" customFormat="false" ht="15" hidden="false" customHeight="false" outlineLevel="0" collapsed="false">
      <c r="A9" s="0" t="s">
        <v>25</v>
      </c>
    </row>
    <row r="10" customFormat="false" ht="15" hidden="false" customHeight="false" outlineLevel="0" collapsed="false">
      <c r="A10" s="0" t="s">
        <v>41</v>
      </c>
    </row>
    <row r="11" customFormat="false" ht="15" hidden="false" customHeight="false" outlineLevel="0" collapsed="false">
      <c r="A11" s="0" t="s">
        <v>42</v>
      </c>
    </row>
    <row r="12" customFormat="false" ht="15" hidden="false" customHeight="false" outlineLevel="0" collapsed="false">
      <c r="A12" s="0" t="s">
        <v>26</v>
      </c>
    </row>
    <row r="13" customFormat="false" ht="15" hidden="false" customHeight="false" outlineLevel="0" collapsed="false">
      <c r="A13" s="0" t="s">
        <v>43</v>
      </c>
    </row>
    <row r="14" customFormat="false" ht="15" hidden="false" customHeight="false" outlineLevel="0" collapsed="false">
      <c r="A14" s="0" t="s">
        <v>44</v>
      </c>
    </row>
    <row r="15" customFormat="false" ht="15" hidden="false" customHeight="false" outlineLevel="0" collapsed="false">
      <c r="A15" s="0" t="s">
        <v>27</v>
      </c>
    </row>
    <row r="16" customFormat="false" ht="15" hidden="false" customHeight="false" outlineLevel="0" collapsed="false">
      <c r="A16" s="0" t="s">
        <v>45</v>
      </c>
    </row>
    <row r="17" customFormat="false" ht="15" hidden="false" customHeight="false" outlineLevel="0" collapsed="false">
      <c r="A17" s="0" t="s">
        <v>46</v>
      </c>
    </row>
    <row r="18" customFormat="false" ht="15" hidden="false" customHeight="false" outlineLevel="0" collapsed="false">
      <c r="A18" s="0" t="s">
        <v>28</v>
      </c>
    </row>
    <row r="19" customFormat="false" ht="15" hidden="false" customHeight="false" outlineLevel="0" collapsed="false">
      <c r="A19" s="0" t="s">
        <v>47</v>
      </c>
    </row>
    <row r="20" customFormat="false" ht="15" hidden="false" customHeight="false" outlineLevel="0" collapsed="false">
      <c r="A20" s="0" t="s">
        <v>48</v>
      </c>
    </row>
    <row r="21" customFormat="false" ht="15" hidden="false" customHeight="false" outlineLevel="0" collapsed="false">
      <c r="A21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50</v>
      </c>
      <c r="B1" s="6" t="n">
        <v>1</v>
      </c>
      <c r="C1" s="6" t="n">
        <v>2</v>
      </c>
      <c r="D1" s="6" t="n">
        <v>3</v>
      </c>
      <c r="E1" s="6" t="n">
        <v>5</v>
      </c>
      <c r="F1" s="6" t="n">
        <v>7</v>
      </c>
      <c r="G1" s="6" t="n">
        <v>10</v>
      </c>
    </row>
    <row r="2" customFormat="false" ht="15" hidden="false" customHeight="false" outlineLevel="0" collapsed="false">
      <c r="A2" s="1" t="s">
        <v>22</v>
      </c>
      <c r="B2" s="13" t="n">
        <v>24.1</v>
      </c>
      <c r="C2" s="13" t="n">
        <v>29.2</v>
      </c>
      <c r="D2" s="13" t="n">
        <v>35.6</v>
      </c>
      <c r="E2" s="13" t="n">
        <v>45.8</v>
      </c>
      <c r="F2" s="13" t="n">
        <v>57.2</v>
      </c>
      <c r="G2" s="13" t="n">
        <v>68.7</v>
      </c>
    </row>
    <row r="3" customFormat="false" ht="15" hidden="false" customHeight="false" outlineLevel="0" collapsed="false">
      <c r="A3" s="1" t="s">
        <v>37</v>
      </c>
      <c r="B3" s="13" t="n">
        <v>29</v>
      </c>
      <c r="C3" s="13" t="n">
        <v>34.2</v>
      </c>
      <c r="D3" s="13" t="n">
        <v>42.2</v>
      </c>
      <c r="E3" s="13" t="n">
        <v>52.4</v>
      </c>
      <c r="F3" s="13" t="n">
        <v>65.5</v>
      </c>
      <c r="G3" s="13" t="n">
        <v>78.6</v>
      </c>
    </row>
    <row r="4" customFormat="false" ht="15" hidden="false" customHeight="false" outlineLevel="0" collapsed="false">
      <c r="A4" s="1" t="s">
        <v>23</v>
      </c>
      <c r="B4" s="13" t="n">
        <v>35</v>
      </c>
      <c r="C4" s="13" t="n">
        <v>40</v>
      </c>
      <c r="D4" s="13" t="n">
        <v>50</v>
      </c>
      <c r="E4" s="13" t="n">
        <v>60</v>
      </c>
      <c r="F4" s="13" t="n">
        <v>75</v>
      </c>
      <c r="G4" s="13" t="n">
        <v>90</v>
      </c>
    </row>
    <row r="5" customFormat="false" ht="15" hidden="false" customHeight="false" outlineLevel="0" collapsed="false">
      <c r="A5" s="1" t="s">
        <v>38</v>
      </c>
      <c r="B5" s="13" t="n">
        <v>40.7</v>
      </c>
      <c r="C5" s="13" t="n">
        <v>47</v>
      </c>
      <c r="D5" s="13" t="n">
        <v>58.5</v>
      </c>
      <c r="E5" s="13" t="n">
        <v>71.1</v>
      </c>
      <c r="F5" s="13" t="n">
        <v>87.7</v>
      </c>
      <c r="G5" s="13" t="n">
        <v>104.3</v>
      </c>
    </row>
    <row r="6" customFormat="false" ht="15" hidden="false" customHeight="false" outlineLevel="0" collapsed="false">
      <c r="A6" s="1" t="s">
        <v>39</v>
      </c>
      <c r="B6" s="13" t="n">
        <v>47.3</v>
      </c>
      <c r="C6" s="13" t="n">
        <v>55.3</v>
      </c>
      <c r="D6" s="13" t="n">
        <v>68.4</v>
      </c>
      <c r="E6" s="13" t="n">
        <v>84.3</v>
      </c>
      <c r="F6" s="13" t="n">
        <v>102.6</v>
      </c>
      <c r="G6" s="13" t="n">
        <v>120.8</v>
      </c>
    </row>
    <row r="7" customFormat="false" ht="15" hidden="false" customHeight="false" outlineLevel="0" collapsed="false">
      <c r="A7" s="1" t="s">
        <v>24</v>
      </c>
      <c r="B7" s="13" t="n">
        <v>55</v>
      </c>
      <c r="C7" s="13" t="n">
        <v>65</v>
      </c>
      <c r="D7" s="13" t="n">
        <v>80</v>
      </c>
      <c r="E7" s="13" t="n">
        <v>100</v>
      </c>
      <c r="F7" s="13" t="n">
        <v>120</v>
      </c>
      <c r="G7" s="13" t="n">
        <v>140</v>
      </c>
    </row>
    <row r="8" customFormat="false" ht="15" hidden="false" customHeight="false" outlineLevel="0" collapsed="false">
      <c r="A8" s="1" t="s">
        <v>8</v>
      </c>
      <c r="B8" s="13" t="n">
        <v>64.8</v>
      </c>
      <c r="C8" s="13" t="n">
        <v>77.5</v>
      </c>
      <c r="D8" s="13" t="n">
        <v>95.2</v>
      </c>
      <c r="E8" s="13" t="n">
        <v>119.3</v>
      </c>
      <c r="F8" s="13" t="n">
        <v>142.3</v>
      </c>
      <c r="G8" s="13" t="n">
        <v>165.2</v>
      </c>
    </row>
    <row r="9" customFormat="false" ht="15" hidden="false" customHeight="false" outlineLevel="0" collapsed="false">
      <c r="A9" s="1" t="s">
        <v>40</v>
      </c>
      <c r="B9" s="13" t="n">
        <v>76.4</v>
      </c>
      <c r="C9" s="13" t="n">
        <v>92.3</v>
      </c>
      <c r="D9" s="13" t="n">
        <v>113.4</v>
      </c>
      <c r="E9" s="13" t="n">
        <v>142.4</v>
      </c>
      <c r="F9" s="13" t="n">
        <v>168.7</v>
      </c>
      <c r="G9" s="13" t="n">
        <v>194.9</v>
      </c>
    </row>
    <row r="10" customFormat="false" ht="15" hidden="false" customHeight="false" outlineLevel="0" collapsed="false">
      <c r="A10" s="1" t="s">
        <v>25</v>
      </c>
      <c r="B10" s="13" t="n">
        <v>90</v>
      </c>
      <c r="C10" s="13" t="n">
        <v>110</v>
      </c>
      <c r="D10" s="13" t="n">
        <v>135</v>
      </c>
      <c r="E10" s="13" t="n">
        <v>170</v>
      </c>
      <c r="F10" s="13" t="n">
        <v>200</v>
      </c>
      <c r="G10" s="13" t="n">
        <v>230</v>
      </c>
    </row>
    <row r="11" customFormat="false" ht="15" hidden="false" customHeight="false" outlineLevel="0" collapsed="false">
      <c r="A11" s="1" t="s">
        <v>41</v>
      </c>
      <c r="B11" s="13" t="n">
        <v>113.4</v>
      </c>
      <c r="C11" s="13" t="n">
        <v>138.6</v>
      </c>
      <c r="D11" s="13" t="n">
        <v>170.1</v>
      </c>
      <c r="E11" s="13" t="n">
        <v>212.1</v>
      </c>
      <c r="F11" s="13" t="n">
        <v>247.7</v>
      </c>
      <c r="G11" s="13" t="n">
        <v>283.3</v>
      </c>
    </row>
    <row r="12" customFormat="false" ht="15" hidden="false" customHeight="false" outlineLevel="0" collapsed="false">
      <c r="A12" s="1" t="s">
        <v>42</v>
      </c>
      <c r="B12" s="13" t="n">
        <v>142.9</v>
      </c>
      <c r="C12" s="13" t="n">
        <v>174.6</v>
      </c>
      <c r="D12" s="13" t="n">
        <v>214.3</v>
      </c>
      <c r="E12" s="13" t="n">
        <v>264.5</v>
      </c>
      <c r="F12" s="13" t="n">
        <v>306.8</v>
      </c>
      <c r="G12" s="13" t="n">
        <v>349.1</v>
      </c>
    </row>
    <row r="13" customFormat="false" ht="15" hidden="false" customHeight="false" outlineLevel="0" collapsed="false">
      <c r="A13" s="1" t="s">
        <v>26</v>
      </c>
      <c r="B13" s="13" t="n">
        <v>180</v>
      </c>
      <c r="C13" s="13" t="n">
        <v>220</v>
      </c>
      <c r="D13" s="13" t="n">
        <v>270</v>
      </c>
      <c r="E13" s="13" t="n">
        <v>330</v>
      </c>
      <c r="F13" s="13" t="n">
        <v>380</v>
      </c>
      <c r="G13" s="13" t="n">
        <v>430</v>
      </c>
    </row>
    <row r="14" customFormat="false" ht="15" hidden="false" customHeight="false" outlineLevel="0" collapsed="false">
      <c r="A14" s="1" t="s">
        <v>43</v>
      </c>
      <c r="B14" s="13" t="n">
        <v>218.1</v>
      </c>
      <c r="C14" s="13" t="n">
        <v>264</v>
      </c>
      <c r="D14" s="13" t="n">
        <v>320.1</v>
      </c>
      <c r="E14" s="13" t="n">
        <v>388.9</v>
      </c>
      <c r="F14" s="13" t="n">
        <v>447.4</v>
      </c>
      <c r="G14" s="13" t="n">
        <v>505.8</v>
      </c>
    </row>
    <row r="15" customFormat="false" ht="15" hidden="false" customHeight="false" outlineLevel="0" collapsed="false">
      <c r="A15" s="1" t="s">
        <v>44</v>
      </c>
      <c r="B15" s="13" t="n">
        <v>264.2</v>
      </c>
      <c r="C15" s="13" t="n">
        <v>316.7</v>
      </c>
      <c r="D15" s="13" t="n">
        <v>379.5</v>
      </c>
      <c r="E15" s="13" t="n">
        <v>458.2</v>
      </c>
      <c r="F15" s="13" t="n">
        <v>526.7</v>
      </c>
      <c r="G15" s="13" t="n">
        <v>595.1</v>
      </c>
    </row>
    <row r="16" customFormat="false" ht="15" hidden="false" customHeight="false" outlineLevel="0" collapsed="false">
      <c r="A16" s="1" t="s">
        <v>27</v>
      </c>
      <c r="B16" s="13" t="n">
        <v>320</v>
      </c>
      <c r="C16" s="13" t="n">
        <v>380</v>
      </c>
      <c r="D16" s="13" t="n">
        <v>450</v>
      </c>
      <c r="E16" s="13" t="n">
        <v>540</v>
      </c>
      <c r="F16" s="13" t="n">
        <v>620</v>
      </c>
      <c r="G16" s="13" t="n">
        <v>700</v>
      </c>
    </row>
    <row r="17" customFormat="false" ht="15" hidden="false" customHeight="false" outlineLevel="0" collapsed="false">
      <c r="A17" s="1" t="s">
        <v>45</v>
      </c>
      <c r="B17" s="13" t="n">
        <v>394.6</v>
      </c>
      <c r="C17" s="13" t="n">
        <v>465.8</v>
      </c>
      <c r="D17" s="13" t="n">
        <v>545.1</v>
      </c>
      <c r="E17" s="13" t="n">
        <v>651.9</v>
      </c>
      <c r="F17" s="13" t="n">
        <v>750.6</v>
      </c>
      <c r="G17" s="13" t="n">
        <v>849.2</v>
      </c>
    </row>
    <row r="18" customFormat="false" ht="15" hidden="false" customHeight="false" outlineLevel="0" collapsed="false">
      <c r="A18" s="1" t="s">
        <v>46</v>
      </c>
      <c r="B18" s="13" t="n">
        <v>486.6</v>
      </c>
      <c r="C18" s="13" t="n">
        <v>571</v>
      </c>
      <c r="D18" s="13" t="n">
        <v>660.4</v>
      </c>
      <c r="E18" s="13" t="n">
        <v>786.9</v>
      </c>
      <c r="F18" s="13" t="n">
        <v>908.6</v>
      </c>
      <c r="G18" s="13" t="n">
        <v>1030.3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51</v>
      </c>
      <c r="B1" s="6" t="n">
        <v>1</v>
      </c>
      <c r="C1" s="6" t="n">
        <v>2</v>
      </c>
      <c r="D1" s="6" t="n">
        <v>3</v>
      </c>
      <c r="E1" s="6" t="n">
        <v>5</v>
      </c>
      <c r="F1" s="6" t="n">
        <v>7</v>
      </c>
      <c r="G1" s="6" t="n">
        <v>10</v>
      </c>
    </row>
    <row r="2" customFormat="false" ht="15" hidden="false" customHeight="false" outlineLevel="0" collapsed="false">
      <c r="A2" s="1" t="s">
        <v>11</v>
      </c>
      <c r="B2" s="14" t="n">
        <v>0.023</v>
      </c>
      <c r="C2" s="14" t="n">
        <v>0.0235</v>
      </c>
      <c r="D2" s="14" t="n">
        <v>0.024</v>
      </c>
      <c r="E2" s="14" t="n">
        <v>0.0255</v>
      </c>
      <c r="F2" s="14" t="n">
        <v>0.027</v>
      </c>
      <c r="G2" s="14" t="n">
        <v>0.029</v>
      </c>
    </row>
    <row r="3" customFormat="false" ht="15" hidden="false" customHeight="false" outlineLevel="0" collapsed="false">
      <c r="A3" s="1" t="s">
        <v>52</v>
      </c>
      <c r="B3" s="14" t="n">
        <v>0.041</v>
      </c>
      <c r="C3" s="14" t="n">
        <v>0.0395</v>
      </c>
      <c r="D3" s="14" t="n">
        <v>0.039</v>
      </c>
      <c r="E3" s="14" t="n">
        <v>0.0395</v>
      </c>
      <c r="F3" s="14" t="n">
        <v>0.0405</v>
      </c>
      <c r="G3" s="14" t="n">
        <v>0.042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53</v>
      </c>
      <c r="B1" s="1" t="s">
        <v>1</v>
      </c>
    </row>
    <row r="2" customFormat="false" ht="15" hidden="false" customHeight="false" outlineLevel="0" collapsed="false">
      <c r="A2" s="0" t="s">
        <v>36</v>
      </c>
      <c r="B2" s="15" t="str">
        <f aca="false">Scorecard!$F$11</f>
        <v>BBB</v>
      </c>
    </row>
    <row r="3" customFormat="false" ht="15" hidden="false" customHeight="false" outlineLevel="0" collapsed="false">
      <c r="A3" s="0" t="s">
        <v>54</v>
      </c>
      <c r="B3" s="16" t="n">
        <f aca="false">IF(Inputs!$B$10&gt;=INDEX(Spreads!$B$1:$G$1,1,6),INDEX(BaseRates!$B$2:$G$3,MATCH(Inputs!$B$9,BaseRates!$A$2:$A$3,0),6),IF(Inputs!$B$10=INDEX(Spreads!$B$1:$G$1,1,MATCH(Inputs!$B$10,Spreads!$B$1:$G$1,1)),INDEX(BaseRates!$B$2:$G$3,MATCH(Inputs!$B$9,BaseRates!$A$2:$A$3,0),MATCH(Inputs!$B$10,Spreads!$B$1:$G$1,1)),INDEX(BaseRates!$B$2:$G$3,MATCH(Inputs!$B$9,BaseRates!$A$2:$A$3,0),MATCH(Inputs!$B$10,Spreads!$B$1:$G$1,1))+(LN(Inputs!$B$10)-LN(INDEX(Spreads!$B$1:$G$1,1,MATCH(Inputs!$B$10,Spreads!$B$1:$G$1,1))))/(LN(INDEX(Spreads!$B$1:$G$1,1,MATCH(Inputs!$B$10,Spreads!$B$1:$G$1,1)+1))-LN(INDEX(Spreads!$B$1:$G$1,1,MATCH(Inputs!$B$10,Spreads!$B$1:$G$1,1))))*(INDEX(BaseRates!$B$2:$G$3,MATCH(Inputs!$B$9,BaseRates!$A$2:$A$3,0),MATCH(Inputs!$B$10,Spreads!$B$1:$G$1,1)+1)-INDEX(BaseRates!$B$2:$G$3,MATCH(Inputs!$B$9,BaseRates!$A$2:$A$3,0),MATCH(Inputs!$B$10,Spreads!$B$1:$G$1,1)))))</f>
        <v>0.0255</v>
      </c>
    </row>
    <row r="4" customFormat="false" ht="15" hidden="false" customHeight="false" outlineLevel="0" collapsed="false">
      <c r="A4" s="0" t="s">
        <v>55</v>
      </c>
      <c r="B4" s="17" t="n">
        <f aca="false">IF(Inputs!$B$10&gt;=INDEX(Spreads!$B$1:$G$1,1,6),INDEX(Spreads!$B$2:$G$18,MATCH(Scorecard!$F$11,Spreads!$A$2:$A$18,0),6),IF(Inputs!$B$10=INDEX(Spreads!$B$1:$G$1,1,MATCH(Inputs!$B$10,Spreads!$B$1:$G$1,1)),INDEX(Spreads!$B$2:$G$18,MATCH(Scorecard!$F$11,Spreads!$A$2:$A$18,0),MATCH(Inputs!$B$10,Spreads!$B$1:$G$1,1)),EXP(LN(INDEX(Spreads!$B$2:$G$18,MATCH(Scorecard!$F$11,Spreads!$A$2:$A$18,0),MATCH(Inputs!$B$10,Spreads!$B$1:$G$1,1)))+(LN(Inputs!$B$10)-LN(INDEX(Spreads!$B$1:$G$1,1,MATCH(Inputs!$B$10,Spreads!$B$1:$G$1,1))))/(LN(INDEX(Spreads!$B$1:$G$1,1,MATCH(Inputs!$B$10,Spreads!$B$1:$G$1,1)+1))-LN(INDEX(Spreads!$B$1:$G$1,1,MATCH(Inputs!$B$10,Spreads!$B$1:$G$1,1))))*(LN(INDEX(Spreads!$B$2:$G$18,MATCH(Scorecard!$F$11,Spreads!$A$2:$A$18,0),MATCH(Inputs!$B$10,Spreads!$B$1:$G$1,1)+1))-LN(INDEX(Spreads!$B$2:$G$18,MATCH(Scorecard!$F$11,Spreads!$A$2:$A$18,0),MATCH(Inputs!$B$10,Spreads!$B$1:$G$1,1)))))))</f>
        <v>170</v>
      </c>
    </row>
    <row r="5" customFormat="false" ht="15" hidden="false" customHeight="false" outlineLevel="0" collapsed="false">
      <c r="A5" s="0" t="s">
        <v>56</v>
      </c>
      <c r="B5" s="18" t="n">
        <f aca="false">Inputs!$B$12*(-25)+Inputs!$B$13*(75)</f>
        <v>0</v>
      </c>
    </row>
    <row r="6" customFormat="false" ht="15" hidden="false" customHeight="false" outlineLevel="0" collapsed="false">
      <c r="A6" s="0" t="s">
        <v>57</v>
      </c>
      <c r="B6" s="16" t="n">
        <f aca="false">B3+(B4+B5)/10000</f>
        <v>0.0425</v>
      </c>
    </row>
    <row r="7" customFormat="false" ht="15" hidden="false" customHeight="false" outlineLevel="0" collapsed="false">
      <c r="A7" s="0" t="s">
        <v>58</v>
      </c>
      <c r="B7" s="19" t="n">
        <f aca="false">B6*Inputs!$B$11</f>
        <v>2.125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2026-10-06T15:04:48Z</dcterms:created>
  <dc:creator>openpyxl</dc:creator>
  <dc:description/>
  <dc:language>en-US</dc:language>
  <cp:lastModifiedBy/>
  <dcterms:modified xsi:type="dcterms:W3CDTF">2026-10-06T15:04:48Z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